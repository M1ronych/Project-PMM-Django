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4E149F0D-5C5A-41DB-934B-15CE17535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ММ (Мрг)" sheetId="2" r:id="rId1"/>
    <sheet name="Аркуш1" sheetId="1" r:id="rId2"/>
  </sheets>
  <definedNames>
    <definedName name="Excel_BuiltIn_Print_Area_2" localSheetId="0">#REF!</definedName>
    <definedName name="Excel_BuiltIn_Print_Area_2">#REF!</definedName>
    <definedName name="Excel_BuiltIn_Print_Area_4" localSheetId="0">#REF!</definedName>
    <definedName name="Excel_BuiltIn_Print_Area_4">#REF!</definedName>
    <definedName name="Excel_BuiltIn_Print_Titles_2" localSheetId="0">#REF!</definedName>
    <definedName name="Excel_BuiltIn_Print_Titles_2">#REF!</definedName>
    <definedName name="Excel_BuiltIn_Print_Titles_4" localSheetId="0">#REF!</definedName>
    <definedName name="Excel_BuiltIn_Print_Titles_4">#REF!</definedName>
    <definedName name="ектрр" localSheetId="0">#REF!</definedName>
    <definedName name="ектрр">#REF!</definedName>
    <definedName name="отклонение" localSheetId="0">#REF!</definedName>
    <definedName name="отклонение">#REF!</definedName>
    <definedName name="п" localSheetId="0">#REF!</definedName>
    <definedName name="п">#REF!</definedName>
    <definedName name="пвод" localSheetId="0">#REF!</definedName>
    <definedName name="пвод">#REF!</definedName>
    <definedName name="пдв" localSheetId="0">#REF!</definedName>
    <definedName name="пдв">#REF!</definedName>
    <definedName name="пкан" localSheetId="0">#REF!</definedName>
    <definedName name="пкан">#REF!</definedName>
    <definedName name="тбл" localSheetId="0">#REF!</definedName>
    <definedName name="тбл">#REF!</definedName>
    <definedName name="ф" localSheetId="0">#REF!</definedName>
    <definedName name="ф">#REF!</definedName>
    <definedName name="Чукча" localSheetId="0">#REF!</definedName>
    <definedName name="Чукча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" i="2" l="1"/>
  <c r="E45" i="2"/>
  <c r="D45" i="2"/>
  <c r="F45" i="2" s="1"/>
  <c r="H45" i="2" s="1"/>
  <c r="E44" i="2"/>
  <c r="D44" i="2"/>
  <c r="F44" i="2" s="1"/>
  <c r="E43" i="2"/>
  <c r="D43" i="2"/>
  <c r="F43" i="2" s="1"/>
  <c r="H43" i="2" s="1"/>
  <c r="E42" i="2"/>
  <c r="D42" i="2"/>
  <c r="E41" i="2"/>
  <c r="D41" i="2"/>
  <c r="F41" i="2" s="1"/>
  <c r="E40" i="2"/>
  <c r="D40" i="2"/>
  <c r="F40" i="2" s="1"/>
  <c r="H40" i="2" s="1"/>
  <c r="E39" i="2"/>
  <c r="D39" i="2"/>
  <c r="F39" i="2" s="1"/>
  <c r="H39" i="2" s="1"/>
  <c r="E38" i="2"/>
  <c r="D38" i="2"/>
  <c r="E37" i="2"/>
  <c r="D37" i="2"/>
  <c r="F37" i="2" s="1"/>
  <c r="H37" i="2" s="1"/>
  <c r="E36" i="2"/>
  <c r="D36" i="2"/>
  <c r="F36" i="2" s="1"/>
  <c r="H36" i="2" s="1"/>
  <c r="E35" i="2"/>
  <c r="D35" i="2"/>
  <c r="F35" i="2" s="1"/>
  <c r="H35" i="2" s="1"/>
  <c r="E34" i="2"/>
  <c r="D34" i="2"/>
  <c r="F34" i="2" s="1"/>
  <c r="H34" i="2" s="1"/>
  <c r="E33" i="2"/>
  <c r="D33" i="2"/>
  <c r="F33" i="2" s="1"/>
  <c r="H33" i="2" s="1"/>
  <c r="E32" i="2"/>
  <c r="D32" i="2"/>
  <c r="E31" i="2"/>
  <c r="D31" i="2"/>
  <c r="F31" i="2" s="1"/>
  <c r="H31" i="2" s="1"/>
  <c r="E30" i="2"/>
  <c r="E29" i="2" s="1"/>
  <c r="D30" i="2"/>
  <c r="D29" i="2" s="1"/>
  <c r="F29" i="2" s="1"/>
  <c r="H29" i="2" s="1"/>
  <c r="E27" i="2"/>
  <c r="D27" i="2"/>
  <c r="E26" i="2"/>
  <c r="D26" i="2"/>
  <c r="E25" i="2"/>
  <c r="D25" i="2"/>
  <c r="E24" i="2"/>
  <c r="D24" i="2"/>
  <c r="E23" i="2"/>
  <c r="D23" i="2"/>
  <c r="E22" i="2"/>
  <c r="D22" i="2"/>
  <c r="E18" i="2"/>
  <c r="D18" i="2"/>
  <c r="E17" i="2"/>
  <c r="E15" i="2" s="1"/>
  <c r="D17" i="2"/>
  <c r="D15" i="2" s="1"/>
  <c r="E13" i="2"/>
  <c r="D13" i="2"/>
  <c r="E12" i="2"/>
  <c r="D12" i="2"/>
  <c r="E11" i="2"/>
  <c r="D11" i="2"/>
  <c r="E10" i="2"/>
  <c r="D10" i="2"/>
  <c r="E9" i="2"/>
  <c r="D9" i="2"/>
  <c r="E8" i="2"/>
  <c r="D8" i="2"/>
  <c r="D6" i="2" s="1"/>
  <c r="F6" i="2" s="1"/>
  <c r="H6" i="2" s="1"/>
  <c r="E7" i="2"/>
  <c r="E21" i="2" l="1"/>
  <c r="E46" i="2" s="1"/>
  <c r="D21" i="2"/>
  <c r="F21" i="2" s="1"/>
  <c r="H21" i="2" s="1"/>
  <c r="E6" i="2"/>
  <c r="H41" i="2"/>
  <c r="H44" i="2"/>
  <c r="F32" i="2"/>
  <c r="H32" i="2" s="1"/>
  <c r="F38" i="2"/>
  <c r="F42" i="2"/>
  <c r="H42" i="2" l="1"/>
  <c r="H38" i="2"/>
  <c r="H46" i="2" l="1"/>
</calcChain>
</file>

<file path=xl/sharedStrings.xml><?xml version="1.0" encoding="utf-8"?>
<sst xmlns="http://schemas.openxmlformats.org/spreadsheetml/2006/main" count="54" uniqueCount="46">
  <si>
    <t>Розрахунок паливо-мастильних матеріалів на 2023 рік.</t>
  </si>
  <si>
    <t>по КП "Миргородводоканал"</t>
  </si>
  <si>
    <t>фактичні витрати                           за 2020 рік</t>
  </si>
  <si>
    <t>фактичні витрати                           за 2022 рік</t>
  </si>
  <si>
    <t xml:space="preserve">планові витрати ПММ </t>
  </si>
  <si>
    <t>в  л</t>
  </si>
  <si>
    <t xml:space="preserve"> в грн.</t>
  </si>
  <si>
    <t xml:space="preserve"> в л</t>
  </si>
  <si>
    <t>ціна палива (грн. з ПДВ)</t>
  </si>
  <si>
    <t>вартість палива  всього тис.грн.</t>
  </si>
  <si>
    <t>бензин А-92</t>
  </si>
  <si>
    <t>ГАЗ-52 66-79 ВЕ</t>
  </si>
  <si>
    <t>ГАЗ-5201 ПЛ610 135-12</t>
  </si>
  <si>
    <t>PEUGEOT  33-19 ЕС</t>
  </si>
  <si>
    <t>ЗІЛ-130 66-78 ВІ</t>
  </si>
  <si>
    <t>електрогенератор</t>
  </si>
  <si>
    <t>бензин А-95</t>
  </si>
  <si>
    <t>дизельне пальне</t>
  </si>
  <si>
    <t>FIAT DOBLO 0538 ЕН</t>
  </si>
  <si>
    <t>FIAT DOBLO 0537 ЕН</t>
  </si>
  <si>
    <t xml:space="preserve">трактор Т-16 </t>
  </si>
  <si>
    <t>екскаватор ЭО 2626</t>
  </si>
  <si>
    <t>екскаватор Борекс</t>
  </si>
  <si>
    <t>газ скраплений</t>
  </si>
  <si>
    <t>Антифриз</t>
  </si>
  <si>
    <t>Олива Леол М-10/40</t>
  </si>
  <si>
    <t>Тосол</t>
  </si>
  <si>
    <t>Всього</t>
  </si>
  <si>
    <t>ГАЗ-33023 66-80ВЕ</t>
  </si>
  <si>
    <t>ГАЗ-3309 89-42ВМ</t>
  </si>
  <si>
    <t>ВАЗ 21063 16-32 СО</t>
  </si>
  <si>
    <t>Олива Леол лидер</t>
  </si>
  <si>
    <t>Олива  ТАД-17</t>
  </si>
  <si>
    <t>Рідина гальмівна</t>
  </si>
  <si>
    <t>Літол</t>
  </si>
  <si>
    <t>Масло 10W40</t>
  </si>
  <si>
    <t xml:space="preserve">            Загальновиробничі витрати</t>
  </si>
  <si>
    <t>УАЗ 98-62 АХ</t>
  </si>
  <si>
    <t>Тример</t>
  </si>
  <si>
    <t>Аерозоль мастило</t>
  </si>
  <si>
    <t>Олива Леол мге</t>
  </si>
  <si>
    <t>Олива Леол турбодиз.</t>
  </si>
  <si>
    <t>Масло МРМ</t>
  </si>
  <si>
    <t>Олива леол S2T</t>
  </si>
  <si>
    <t>смазка універсальна</t>
  </si>
  <si>
    <t>WD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</si>
</sst>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</font>
    <font>
      <i/>
      <sz val="10"/>
      <name val="Times New Roman"/>
      <family val="1"/>
      <charset val="204"/>
    </font>
    <font>
      <sz val="10"/>
      <name val="Arial Cyr"/>
      <charset val="204"/>
    </font>
    <font>
      <i/>
      <sz val="10"/>
      <color indexed="8"/>
      <name val="Times New Roman"/>
      <family val="1"/>
      <charset val="204"/>
    </font>
    <font>
      <i/>
      <sz val="10"/>
      <color indexed="8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0" fillId="0" borderId="0"/>
  </cellStyleXfs>
  <cellXfs count="45">
    <xf numFmtId="0" fontId="0" fillId="0" borderId="0" xfId="0"/>
    <xf numFmtId="0" fontId="1" fillId="0" borderId="0" xfId="1"/>
    <xf numFmtId="0" fontId="3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left"/>
    </xf>
    <xf numFmtId="164" fontId="7" fillId="0" borderId="7" xfId="2" applyNumberFormat="1" applyFont="1" applyBorder="1"/>
    <xf numFmtId="2" fontId="7" fillId="0" borderId="7" xfId="2" applyNumberFormat="1" applyFont="1" applyBorder="1"/>
    <xf numFmtId="164" fontId="7" fillId="0" borderId="7" xfId="1" applyNumberFormat="1" applyFont="1" applyBorder="1" applyAlignment="1">
      <alignment horizontal="center"/>
    </xf>
    <xf numFmtId="165" fontId="7" fillId="0" borderId="7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2" fontId="1" fillId="0" borderId="0" xfId="1" applyNumberFormat="1"/>
    <xf numFmtId="0" fontId="9" fillId="0" borderId="7" xfId="1" applyFont="1" applyBorder="1" applyAlignment="1">
      <alignment horizontal="right"/>
    </xf>
    <xf numFmtId="164" fontId="9" fillId="0" borderId="7" xfId="1" applyNumberFormat="1" applyFont="1" applyBorder="1" applyAlignment="1">
      <alignment horizontal="right"/>
    </xf>
    <xf numFmtId="2" fontId="9" fillId="0" borderId="7" xfId="1" applyNumberFormat="1" applyFont="1" applyBorder="1" applyAlignment="1">
      <alignment horizontal="right"/>
    </xf>
    <xf numFmtId="164" fontId="9" fillId="0" borderId="7" xfId="1" applyNumberFormat="1" applyFont="1" applyBorder="1" applyAlignment="1">
      <alignment horizontal="center"/>
    </xf>
    <xf numFmtId="165" fontId="9" fillId="0" borderId="7" xfId="1" applyNumberFormat="1" applyFont="1" applyBorder="1" applyAlignment="1">
      <alignment horizontal="center"/>
    </xf>
    <xf numFmtId="2" fontId="9" fillId="0" borderId="7" xfId="1" applyNumberFormat="1" applyFont="1" applyBorder="1" applyAlignment="1">
      <alignment horizontal="center"/>
    </xf>
    <xf numFmtId="0" fontId="7" fillId="0" borderId="7" xfId="1" applyFont="1" applyBorder="1"/>
    <xf numFmtId="0" fontId="11" fillId="0" borderId="2" xfId="3" applyFont="1" applyFill="1" applyBorder="1" applyAlignment="1">
      <alignment horizontal="right" vertical="center" wrapText="1"/>
    </xf>
    <xf numFmtId="0" fontId="6" fillId="0" borderId="7" xfId="1" applyFont="1" applyBorder="1"/>
    <xf numFmtId="2" fontId="6" fillId="0" borderId="7" xfId="1" applyNumberFormat="1" applyFont="1" applyBorder="1" applyAlignment="1">
      <alignment horizontal="center"/>
    </xf>
    <xf numFmtId="164" fontId="4" fillId="0" borderId="7" xfId="1" applyNumberFormat="1" applyFont="1" applyBorder="1"/>
    <xf numFmtId="2" fontId="7" fillId="0" borderId="7" xfId="1" applyNumberFormat="1" applyFont="1" applyBorder="1"/>
    <xf numFmtId="165" fontId="9" fillId="0" borderId="7" xfId="1" applyNumberFormat="1" applyFont="1" applyBorder="1" applyAlignment="1">
      <alignment horizontal="left"/>
    </xf>
    <xf numFmtId="2" fontId="9" fillId="0" borderId="7" xfId="1" applyNumberFormat="1" applyFont="1" applyBorder="1" applyAlignment="1">
      <alignment horizontal="left"/>
    </xf>
    <xf numFmtId="165" fontId="7" fillId="0" borderId="7" xfId="1" applyNumberFormat="1" applyFont="1" applyBorder="1"/>
    <xf numFmtId="164" fontId="1" fillId="0" borderId="0" xfId="1" applyNumberFormat="1"/>
    <xf numFmtId="0" fontId="12" fillId="0" borderId="2" xfId="3" applyFont="1" applyFill="1" applyBorder="1" applyAlignment="1">
      <alignment horizontal="right" vertical="center" wrapText="1"/>
    </xf>
    <xf numFmtId="164" fontId="13" fillId="0" borderId="0" xfId="1" applyNumberFormat="1" applyFont="1" applyAlignment="1">
      <alignment horizontal="left"/>
    </xf>
    <xf numFmtId="0" fontId="13" fillId="0" borderId="0" xfId="1" applyFont="1" applyAlignment="1">
      <alignment horizontal="left"/>
    </xf>
    <xf numFmtId="165" fontId="4" fillId="0" borderId="7" xfId="1" applyNumberFormat="1" applyFont="1" applyBorder="1"/>
    <xf numFmtId="0" fontId="4" fillId="0" borderId="3" xfId="1" applyFont="1" applyBorder="1" applyAlignment="1"/>
    <xf numFmtId="0" fontId="4" fillId="0" borderId="5" xfId="1" applyFont="1" applyBorder="1" applyAlignment="1"/>
    <xf numFmtId="0" fontId="5" fillId="0" borderId="5" xfId="1" applyFont="1" applyBorder="1" applyAlignment="1"/>
    <xf numFmtId="0" fontId="5" fillId="0" borderId="4" xfId="1" applyFont="1" applyBorder="1" applyAlignment="1"/>
    <xf numFmtId="0" fontId="2" fillId="0" borderId="0" xfId="1" applyFont="1" applyAlignment="1">
      <alignment horizontal="center"/>
    </xf>
    <xf numFmtId="0" fontId="3" fillId="0" borderId="0" xfId="1" applyFont="1" applyAlignment="1"/>
    <xf numFmtId="0" fontId="2" fillId="0" borderId="1" xfId="1" applyFont="1" applyBorder="1" applyAlignment="1">
      <alignment horizontal="center"/>
    </xf>
    <xf numFmtId="0" fontId="3" fillId="0" borderId="1" xfId="1" applyFont="1" applyBorder="1" applyAlignment="1"/>
    <xf numFmtId="0" fontId="2" fillId="0" borderId="2" xfId="1" applyFont="1" applyBorder="1" applyAlignment="1">
      <alignment horizontal="center"/>
    </xf>
    <xf numFmtId="0" fontId="1" fillId="0" borderId="6" xfId="1" applyBorder="1" applyAlignment="1"/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4">
    <cellStyle name="Обычный" xfId="0" builtinId="0"/>
    <cellStyle name="Обычный 2" xfId="2" xr:uid="{00000000-0005-0000-0000-000001000000}"/>
    <cellStyle name="Обычный 2 2" xfId="3" xr:uid="{00000000-0005-0000-0000-000002000000}"/>
    <cellStyle name="Обычный 6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Normal="100" workbookViewId="0">
      <selection activeCell="E43" sqref="E43"/>
    </sheetView>
  </sheetViews>
  <sheetFormatPr defaultRowHeight="12.75" x14ac:dyDescent="0.2"/>
  <cols>
    <col min="1" max="1" width="23.140625" style="1" customWidth="1"/>
    <col min="2" max="2" width="8.28515625" style="1" hidden="1" customWidth="1"/>
    <col min="3" max="3" width="12.28515625" style="1" hidden="1" customWidth="1"/>
    <col min="4" max="4" width="8.28515625" style="1" customWidth="1"/>
    <col min="5" max="5" width="12.28515625" style="1" customWidth="1"/>
    <col min="6" max="6" width="8.42578125" style="1" customWidth="1"/>
    <col min="7" max="8" width="11.7109375" style="1" customWidth="1"/>
    <col min="9" max="10" width="8.85546875" style="1"/>
    <col min="11" max="11" width="10.5703125" style="1" bestFit="1" customWidth="1"/>
    <col min="12" max="256" width="8.85546875" style="1"/>
    <col min="257" max="257" width="23.140625" style="1" customWidth="1"/>
    <col min="258" max="259" width="0" style="1" hidden="1" customWidth="1"/>
    <col min="260" max="260" width="8.28515625" style="1" customWidth="1"/>
    <col min="261" max="261" width="12.28515625" style="1" customWidth="1"/>
    <col min="262" max="262" width="8.42578125" style="1" customWidth="1"/>
    <col min="263" max="264" width="11.7109375" style="1" customWidth="1"/>
    <col min="265" max="266" width="8.85546875" style="1"/>
    <col min="267" max="267" width="10.5703125" style="1" bestFit="1" customWidth="1"/>
    <col min="268" max="512" width="8.85546875" style="1"/>
    <col min="513" max="513" width="23.140625" style="1" customWidth="1"/>
    <col min="514" max="515" width="0" style="1" hidden="1" customWidth="1"/>
    <col min="516" max="516" width="8.28515625" style="1" customWidth="1"/>
    <col min="517" max="517" width="12.28515625" style="1" customWidth="1"/>
    <col min="518" max="518" width="8.42578125" style="1" customWidth="1"/>
    <col min="519" max="520" width="11.7109375" style="1" customWidth="1"/>
    <col min="521" max="522" width="8.85546875" style="1"/>
    <col min="523" max="523" width="10.5703125" style="1" bestFit="1" customWidth="1"/>
    <col min="524" max="768" width="8.85546875" style="1"/>
    <col min="769" max="769" width="23.140625" style="1" customWidth="1"/>
    <col min="770" max="771" width="0" style="1" hidden="1" customWidth="1"/>
    <col min="772" max="772" width="8.28515625" style="1" customWidth="1"/>
    <col min="773" max="773" width="12.28515625" style="1" customWidth="1"/>
    <col min="774" max="774" width="8.42578125" style="1" customWidth="1"/>
    <col min="775" max="776" width="11.7109375" style="1" customWidth="1"/>
    <col min="777" max="778" width="8.85546875" style="1"/>
    <col min="779" max="779" width="10.5703125" style="1" bestFit="1" customWidth="1"/>
    <col min="780" max="1024" width="8.85546875" style="1"/>
    <col min="1025" max="1025" width="23.140625" style="1" customWidth="1"/>
    <col min="1026" max="1027" width="0" style="1" hidden="1" customWidth="1"/>
    <col min="1028" max="1028" width="8.28515625" style="1" customWidth="1"/>
    <col min="1029" max="1029" width="12.28515625" style="1" customWidth="1"/>
    <col min="1030" max="1030" width="8.42578125" style="1" customWidth="1"/>
    <col min="1031" max="1032" width="11.7109375" style="1" customWidth="1"/>
    <col min="1033" max="1034" width="8.85546875" style="1"/>
    <col min="1035" max="1035" width="10.5703125" style="1" bestFit="1" customWidth="1"/>
    <col min="1036" max="1280" width="8.85546875" style="1"/>
    <col min="1281" max="1281" width="23.140625" style="1" customWidth="1"/>
    <col min="1282" max="1283" width="0" style="1" hidden="1" customWidth="1"/>
    <col min="1284" max="1284" width="8.28515625" style="1" customWidth="1"/>
    <col min="1285" max="1285" width="12.28515625" style="1" customWidth="1"/>
    <col min="1286" max="1286" width="8.42578125" style="1" customWidth="1"/>
    <col min="1287" max="1288" width="11.7109375" style="1" customWidth="1"/>
    <col min="1289" max="1290" width="8.85546875" style="1"/>
    <col min="1291" max="1291" width="10.5703125" style="1" bestFit="1" customWidth="1"/>
    <col min="1292" max="1536" width="8.85546875" style="1"/>
    <col min="1537" max="1537" width="23.140625" style="1" customWidth="1"/>
    <col min="1538" max="1539" width="0" style="1" hidden="1" customWidth="1"/>
    <col min="1540" max="1540" width="8.28515625" style="1" customWidth="1"/>
    <col min="1541" max="1541" width="12.28515625" style="1" customWidth="1"/>
    <col min="1542" max="1542" width="8.42578125" style="1" customWidth="1"/>
    <col min="1543" max="1544" width="11.7109375" style="1" customWidth="1"/>
    <col min="1545" max="1546" width="8.85546875" style="1"/>
    <col min="1547" max="1547" width="10.5703125" style="1" bestFit="1" customWidth="1"/>
    <col min="1548" max="1792" width="8.85546875" style="1"/>
    <col min="1793" max="1793" width="23.140625" style="1" customWidth="1"/>
    <col min="1794" max="1795" width="0" style="1" hidden="1" customWidth="1"/>
    <col min="1796" max="1796" width="8.28515625" style="1" customWidth="1"/>
    <col min="1797" max="1797" width="12.28515625" style="1" customWidth="1"/>
    <col min="1798" max="1798" width="8.42578125" style="1" customWidth="1"/>
    <col min="1799" max="1800" width="11.7109375" style="1" customWidth="1"/>
    <col min="1801" max="1802" width="8.85546875" style="1"/>
    <col min="1803" max="1803" width="10.5703125" style="1" bestFit="1" customWidth="1"/>
    <col min="1804" max="2048" width="8.85546875" style="1"/>
    <col min="2049" max="2049" width="23.140625" style="1" customWidth="1"/>
    <col min="2050" max="2051" width="0" style="1" hidden="1" customWidth="1"/>
    <col min="2052" max="2052" width="8.28515625" style="1" customWidth="1"/>
    <col min="2053" max="2053" width="12.28515625" style="1" customWidth="1"/>
    <col min="2054" max="2054" width="8.42578125" style="1" customWidth="1"/>
    <col min="2055" max="2056" width="11.7109375" style="1" customWidth="1"/>
    <col min="2057" max="2058" width="8.85546875" style="1"/>
    <col min="2059" max="2059" width="10.5703125" style="1" bestFit="1" customWidth="1"/>
    <col min="2060" max="2304" width="8.85546875" style="1"/>
    <col min="2305" max="2305" width="23.140625" style="1" customWidth="1"/>
    <col min="2306" max="2307" width="0" style="1" hidden="1" customWidth="1"/>
    <col min="2308" max="2308" width="8.28515625" style="1" customWidth="1"/>
    <col min="2309" max="2309" width="12.28515625" style="1" customWidth="1"/>
    <col min="2310" max="2310" width="8.42578125" style="1" customWidth="1"/>
    <col min="2311" max="2312" width="11.7109375" style="1" customWidth="1"/>
    <col min="2313" max="2314" width="8.85546875" style="1"/>
    <col min="2315" max="2315" width="10.5703125" style="1" bestFit="1" customWidth="1"/>
    <col min="2316" max="2560" width="8.85546875" style="1"/>
    <col min="2561" max="2561" width="23.140625" style="1" customWidth="1"/>
    <col min="2562" max="2563" width="0" style="1" hidden="1" customWidth="1"/>
    <col min="2564" max="2564" width="8.28515625" style="1" customWidth="1"/>
    <col min="2565" max="2565" width="12.28515625" style="1" customWidth="1"/>
    <col min="2566" max="2566" width="8.42578125" style="1" customWidth="1"/>
    <col min="2567" max="2568" width="11.7109375" style="1" customWidth="1"/>
    <col min="2569" max="2570" width="8.85546875" style="1"/>
    <col min="2571" max="2571" width="10.5703125" style="1" bestFit="1" customWidth="1"/>
    <col min="2572" max="2816" width="8.85546875" style="1"/>
    <col min="2817" max="2817" width="23.140625" style="1" customWidth="1"/>
    <col min="2818" max="2819" width="0" style="1" hidden="1" customWidth="1"/>
    <col min="2820" max="2820" width="8.28515625" style="1" customWidth="1"/>
    <col min="2821" max="2821" width="12.28515625" style="1" customWidth="1"/>
    <col min="2822" max="2822" width="8.42578125" style="1" customWidth="1"/>
    <col min="2823" max="2824" width="11.7109375" style="1" customWidth="1"/>
    <col min="2825" max="2826" width="8.85546875" style="1"/>
    <col min="2827" max="2827" width="10.5703125" style="1" bestFit="1" customWidth="1"/>
    <col min="2828" max="3072" width="8.85546875" style="1"/>
    <col min="3073" max="3073" width="23.140625" style="1" customWidth="1"/>
    <col min="3074" max="3075" width="0" style="1" hidden="1" customWidth="1"/>
    <col min="3076" max="3076" width="8.28515625" style="1" customWidth="1"/>
    <col min="3077" max="3077" width="12.28515625" style="1" customWidth="1"/>
    <col min="3078" max="3078" width="8.42578125" style="1" customWidth="1"/>
    <col min="3079" max="3080" width="11.7109375" style="1" customWidth="1"/>
    <col min="3081" max="3082" width="8.85546875" style="1"/>
    <col min="3083" max="3083" width="10.5703125" style="1" bestFit="1" customWidth="1"/>
    <col min="3084" max="3328" width="8.85546875" style="1"/>
    <col min="3329" max="3329" width="23.140625" style="1" customWidth="1"/>
    <col min="3330" max="3331" width="0" style="1" hidden="1" customWidth="1"/>
    <col min="3332" max="3332" width="8.28515625" style="1" customWidth="1"/>
    <col min="3333" max="3333" width="12.28515625" style="1" customWidth="1"/>
    <col min="3334" max="3334" width="8.42578125" style="1" customWidth="1"/>
    <col min="3335" max="3336" width="11.7109375" style="1" customWidth="1"/>
    <col min="3337" max="3338" width="8.85546875" style="1"/>
    <col min="3339" max="3339" width="10.5703125" style="1" bestFit="1" customWidth="1"/>
    <col min="3340" max="3584" width="8.85546875" style="1"/>
    <col min="3585" max="3585" width="23.140625" style="1" customWidth="1"/>
    <col min="3586" max="3587" width="0" style="1" hidden="1" customWidth="1"/>
    <col min="3588" max="3588" width="8.28515625" style="1" customWidth="1"/>
    <col min="3589" max="3589" width="12.28515625" style="1" customWidth="1"/>
    <col min="3590" max="3590" width="8.42578125" style="1" customWidth="1"/>
    <col min="3591" max="3592" width="11.7109375" style="1" customWidth="1"/>
    <col min="3593" max="3594" width="8.85546875" style="1"/>
    <col min="3595" max="3595" width="10.5703125" style="1" bestFit="1" customWidth="1"/>
    <col min="3596" max="3840" width="8.85546875" style="1"/>
    <col min="3841" max="3841" width="23.140625" style="1" customWidth="1"/>
    <col min="3842" max="3843" width="0" style="1" hidden="1" customWidth="1"/>
    <col min="3844" max="3844" width="8.28515625" style="1" customWidth="1"/>
    <col min="3845" max="3845" width="12.28515625" style="1" customWidth="1"/>
    <col min="3846" max="3846" width="8.42578125" style="1" customWidth="1"/>
    <col min="3847" max="3848" width="11.7109375" style="1" customWidth="1"/>
    <col min="3849" max="3850" width="8.85546875" style="1"/>
    <col min="3851" max="3851" width="10.5703125" style="1" bestFit="1" customWidth="1"/>
    <col min="3852" max="4096" width="8.85546875" style="1"/>
    <col min="4097" max="4097" width="23.140625" style="1" customWidth="1"/>
    <col min="4098" max="4099" width="0" style="1" hidden="1" customWidth="1"/>
    <col min="4100" max="4100" width="8.28515625" style="1" customWidth="1"/>
    <col min="4101" max="4101" width="12.28515625" style="1" customWidth="1"/>
    <col min="4102" max="4102" width="8.42578125" style="1" customWidth="1"/>
    <col min="4103" max="4104" width="11.7109375" style="1" customWidth="1"/>
    <col min="4105" max="4106" width="8.85546875" style="1"/>
    <col min="4107" max="4107" width="10.5703125" style="1" bestFit="1" customWidth="1"/>
    <col min="4108" max="4352" width="8.85546875" style="1"/>
    <col min="4353" max="4353" width="23.140625" style="1" customWidth="1"/>
    <col min="4354" max="4355" width="0" style="1" hidden="1" customWidth="1"/>
    <col min="4356" max="4356" width="8.28515625" style="1" customWidth="1"/>
    <col min="4357" max="4357" width="12.28515625" style="1" customWidth="1"/>
    <col min="4358" max="4358" width="8.42578125" style="1" customWidth="1"/>
    <col min="4359" max="4360" width="11.7109375" style="1" customWidth="1"/>
    <col min="4361" max="4362" width="8.85546875" style="1"/>
    <col min="4363" max="4363" width="10.5703125" style="1" bestFit="1" customWidth="1"/>
    <col min="4364" max="4608" width="8.85546875" style="1"/>
    <col min="4609" max="4609" width="23.140625" style="1" customWidth="1"/>
    <col min="4610" max="4611" width="0" style="1" hidden="1" customWidth="1"/>
    <col min="4612" max="4612" width="8.28515625" style="1" customWidth="1"/>
    <col min="4613" max="4613" width="12.28515625" style="1" customWidth="1"/>
    <col min="4614" max="4614" width="8.42578125" style="1" customWidth="1"/>
    <col min="4615" max="4616" width="11.7109375" style="1" customWidth="1"/>
    <col min="4617" max="4618" width="8.85546875" style="1"/>
    <col min="4619" max="4619" width="10.5703125" style="1" bestFit="1" customWidth="1"/>
    <col min="4620" max="4864" width="8.85546875" style="1"/>
    <col min="4865" max="4865" width="23.140625" style="1" customWidth="1"/>
    <col min="4866" max="4867" width="0" style="1" hidden="1" customWidth="1"/>
    <col min="4868" max="4868" width="8.28515625" style="1" customWidth="1"/>
    <col min="4869" max="4869" width="12.28515625" style="1" customWidth="1"/>
    <col min="4870" max="4870" width="8.42578125" style="1" customWidth="1"/>
    <col min="4871" max="4872" width="11.7109375" style="1" customWidth="1"/>
    <col min="4873" max="4874" width="8.85546875" style="1"/>
    <col min="4875" max="4875" width="10.5703125" style="1" bestFit="1" customWidth="1"/>
    <col min="4876" max="5120" width="8.85546875" style="1"/>
    <col min="5121" max="5121" width="23.140625" style="1" customWidth="1"/>
    <col min="5122" max="5123" width="0" style="1" hidden="1" customWidth="1"/>
    <col min="5124" max="5124" width="8.28515625" style="1" customWidth="1"/>
    <col min="5125" max="5125" width="12.28515625" style="1" customWidth="1"/>
    <col min="5126" max="5126" width="8.42578125" style="1" customWidth="1"/>
    <col min="5127" max="5128" width="11.7109375" style="1" customWidth="1"/>
    <col min="5129" max="5130" width="8.85546875" style="1"/>
    <col min="5131" max="5131" width="10.5703125" style="1" bestFit="1" customWidth="1"/>
    <col min="5132" max="5376" width="8.85546875" style="1"/>
    <col min="5377" max="5377" width="23.140625" style="1" customWidth="1"/>
    <col min="5378" max="5379" width="0" style="1" hidden="1" customWidth="1"/>
    <col min="5380" max="5380" width="8.28515625" style="1" customWidth="1"/>
    <col min="5381" max="5381" width="12.28515625" style="1" customWidth="1"/>
    <col min="5382" max="5382" width="8.42578125" style="1" customWidth="1"/>
    <col min="5383" max="5384" width="11.7109375" style="1" customWidth="1"/>
    <col min="5385" max="5386" width="8.85546875" style="1"/>
    <col min="5387" max="5387" width="10.5703125" style="1" bestFit="1" customWidth="1"/>
    <col min="5388" max="5632" width="8.85546875" style="1"/>
    <col min="5633" max="5633" width="23.140625" style="1" customWidth="1"/>
    <col min="5634" max="5635" width="0" style="1" hidden="1" customWidth="1"/>
    <col min="5636" max="5636" width="8.28515625" style="1" customWidth="1"/>
    <col min="5637" max="5637" width="12.28515625" style="1" customWidth="1"/>
    <col min="5638" max="5638" width="8.42578125" style="1" customWidth="1"/>
    <col min="5639" max="5640" width="11.7109375" style="1" customWidth="1"/>
    <col min="5641" max="5642" width="8.85546875" style="1"/>
    <col min="5643" max="5643" width="10.5703125" style="1" bestFit="1" customWidth="1"/>
    <col min="5644" max="5888" width="8.85546875" style="1"/>
    <col min="5889" max="5889" width="23.140625" style="1" customWidth="1"/>
    <col min="5890" max="5891" width="0" style="1" hidden="1" customWidth="1"/>
    <col min="5892" max="5892" width="8.28515625" style="1" customWidth="1"/>
    <col min="5893" max="5893" width="12.28515625" style="1" customWidth="1"/>
    <col min="5894" max="5894" width="8.42578125" style="1" customWidth="1"/>
    <col min="5895" max="5896" width="11.7109375" style="1" customWidth="1"/>
    <col min="5897" max="5898" width="8.85546875" style="1"/>
    <col min="5899" max="5899" width="10.5703125" style="1" bestFit="1" customWidth="1"/>
    <col min="5900" max="6144" width="8.85546875" style="1"/>
    <col min="6145" max="6145" width="23.140625" style="1" customWidth="1"/>
    <col min="6146" max="6147" width="0" style="1" hidden="1" customWidth="1"/>
    <col min="6148" max="6148" width="8.28515625" style="1" customWidth="1"/>
    <col min="6149" max="6149" width="12.28515625" style="1" customWidth="1"/>
    <col min="6150" max="6150" width="8.42578125" style="1" customWidth="1"/>
    <col min="6151" max="6152" width="11.7109375" style="1" customWidth="1"/>
    <col min="6153" max="6154" width="8.85546875" style="1"/>
    <col min="6155" max="6155" width="10.5703125" style="1" bestFit="1" customWidth="1"/>
    <col min="6156" max="6400" width="8.85546875" style="1"/>
    <col min="6401" max="6401" width="23.140625" style="1" customWidth="1"/>
    <col min="6402" max="6403" width="0" style="1" hidden="1" customWidth="1"/>
    <col min="6404" max="6404" width="8.28515625" style="1" customWidth="1"/>
    <col min="6405" max="6405" width="12.28515625" style="1" customWidth="1"/>
    <col min="6406" max="6406" width="8.42578125" style="1" customWidth="1"/>
    <col min="6407" max="6408" width="11.7109375" style="1" customWidth="1"/>
    <col min="6409" max="6410" width="8.85546875" style="1"/>
    <col min="6411" max="6411" width="10.5703125" style="1" bestFit="1" customWidth="1"/>
    <col min="6412" max="6656" width="8.85546875" style="1"/>
    <col min="6657" max="6657" width="23.140625" style="1" customWidth="1"/>
    <col min="6658" max="6659" width="0" style="1" hidden="1" customWidth="1"/>
    <col min="6660" max="6660" width="8.28515625" style="1" customWidth="1"/>
    <col min="6661" max="6661" width="12.28515625" style="1" customWidth="1"/>
    <col min="6662" max="6662" width="8.42578125" style="1" customWidth="1"/>
    <col min="6663" max="6664" width="11.7109375" style="1" customWidth="1"/>
    <col min="6665" max="6666" width="8.85546875" style="1"/>
    <col min="6667" max="6667" width="10.5703125" style="1" bestFit="1" customWidth="1"/>
    <col min="6668" max="6912" width="8.85546875" style="1"/>
    <col min="6913" max="6913" width="23.140625" style="1" customWidth="1"/>
    <col min="6914" max="6915" width="0" style="1" hidden="1" customWidth="1"/>
    <col min="6916" max="6916" width="8.28515625" style="1" customWidth="1"/>
    <col min="6917" max="6917" width="12.28515625" style="1" customWidth="1"/>
    <col min="6918" max="6918" width="8.42578125" style="1" customWidth="1"/>
    <col min="6919" max="6920" width="11.7109375" style="1" customWidth="1"/>
    <col min="6921" max="6922" width="8.85546875" style="1"/>
    <col min="6923" max="6923" width="10.5703125" style="1" bestFit="1" customWidth="1"/>
    <col min="6924" max="7168" width="8.85546875" style="1"/>
    <col min="7169" max="7169" width="23.140625" style="1" customWidth="1"/>
    <col min="7170" max="7171" width="0" style="1" hidden="1" customWidth="1"/>
    <col min="7172" max="7172" width="8.28515625" style="1" customWidth="1"/>
    <col min="7173" max="7173" width="12.28515625" style="1" customWidth="1"/>
    <col min="7174" max="7174" width="8.42578125" style="1" customWidth="1"/>
    <col min="7175" max="7176" width="11.7109375" style="1" customWidth="1"/>
    <col min="7177" max="7178" width="8.85546875" style="1"/>
    <col min="7179" max="7179" width="10.5703125" style="1" bestFit="1" customWidth="1"/>
    <col min="7180" max="7424" width="8.85546875" style="1"/>
    <col min="7425" max="7425" width="23.140625" style="1" customWidth="1"/>
    <col min="7426" max="7427" width="0" style="1" hidden="1" customWidth="1"/>
    <col min="7428" max="7428" width="8.28515625" style="1" customWidth="1"/>
    <col min="7429" max="7429" width="12.28515625" style="1" customWidth="1"/>
    <col min="7430" max="7430" width="8.42578125" style="1" customWidth="1"/>
    <col min="7431" max="7432" width="11.7109375" style="1" customWidth="1"/>
    <col min="7433" max="7434" width="8.85546875" style="1"/>
    <col min="7435" max="7435" width="10.5703125" style="1" bestFit="1" customWidth="1"/>
    <col min="7436" max="7680" width="8.85546875" style="1"/>
    <col min="7681" max="7681" width="23.140625" style="1" customWidth="1"/>
    <col min="7682" max="7683" width="0" style="1" hidden="1" customWidth="1"/>
    <col min="7684" max="7684" width="8.28515625" style="1" customWidth="1"/>
    <col min="7685" max="7685" width="12.28515625" style="1" customWidth="1"/>
    <col min="7686" max="7686" width="8.42578125" style="1" customWidth="1"/>
    <col min="7687" max="7688" width="11.7109375" style="1" customWidth="1"/>
    <col min="7689" max="7690" width="8.85546875" style="1"/>
    <col min="7691" max="7691" width="10.5703125" style="1" bestFit="1" customWidth="1"/>
    <col min="7692" max="7936" width="8.85546875" style="1"/>
    <col min="7937" max="7937" width="23.140625" style="1" customWidth="1"/>
    <col min="7938" max="7939" width="0" style="1" hidden="1" customWidth="1"/>
    <col min="7940" max="7940" width="8.28515625" style="1" customWidth="1"/>
    <col min="7941" max="7941" width="12.28515625" style="1" customWidth="1"/>
    <col min="7942" max="7942" width="8.42578125" style="1" customWidth="1"/>
    <col min="7943" max="7944" width="11.7109375" style="1" customWidth="1"/>
    <col min="7945" max="7946" width="8.85546875" style="1"/>
    <col min="7947" max="7947" width="10.5703125" style="1" bestFit="1" customWidth="1"/>
    <col min="7948" max="8192" width="8.85546875" style="1"/>
    <col min="8193" max="8193" width="23.140625" style="1" customWidth="1"/>
    <col min="8194" max="8195" width="0" style="1" hidden="1" customWidth="1"/>
    <col min="8196" max="8196" width="8.28515625" style="1" customWidth="1"/>
    <col min="8197" max="8197" width="12.28515625" style="1" customWidth="1"/>
    <col min="8198" max="8198" width="8.42578125" style="1" customWidth="1"/>
    <col min="8199" max="8200" width="11.7109375" style="1" customWidth="1"/>
    <col min="8201" max="8202" width="8.85546875" style="1"/>
    <col min="8203" max="8203" width="10.5703125" style="1" bestFit="1" customWidth="1"/>
    <col min="8204" max="8448" width="8.85546875" style="1"/>
    <col min="8449" max="8449" width="23.140625" style="1" customWidth="1"/>
    <col min="8450" max="8451" width="0" style="1" hidden="1" customWidth="1"/>
    <col min="8452" max="8452" width="8.28515625" style="1" customWidth="1"/>
    <col min="8453" max="8453" width="12.28515625" style="1" customWidth="1"/>
    <col min="8454" max="8454" width="8.42578125" style="1" customWidth="1"/>
    <col min="8455" max="8456" width="11.7109375" style="1" customWidth="1"/>
    <col min="8457" max="8458" width="8.85546875" style="1"/>
    <col min="8459" max="8459" width="10.5703125" style="1" bestFit="1" customWidth="1"/>
    <col min="8460" max="8704" width="8.85546875" style="1"/>
    <col min="8705" max="8705" width="23.140625" style="1" customWidth="1"/>
    <col min="8706" max="8707" width="0" style="1" hidden="1" customWidth="1"/>
    <col min="8708" max="8708" width="8.28515625" style="1" customWidth="1"/>
    <col min="8709" max="8709" width="12.28515625" style="1" customWidth="1"/>
    <col min="8710" max="8710" width="8.42578125" style="1" customWidth="1"/>
    <col min="8711" max="8712" width="11.7109375" style="1" customWidth="1"/>
    <col min="8713" max="8714" width="8.85546875" style="1"/>
    <col min="8715" max="8715" width="10.5703125" style="1" bestFit="1" customWidth="1"/>
    <col min="8716" max="8960" width="8.85546875" style="1"/>
    <col min="8961" max="8961" width="23.140625" style="1" customWidth="1"/>
    <col min="8962" max="8963" width="0" style="1" hidden="1" customWidth="1"/>
    <col min="8964" max="8964" width="8.28515625" style="1" customWidth="1"/>
    <col min="8965" max="8965" width="12.28515625" style="1" customWidth="1"/>
    <col min="8966" max="8966" width="8.42578125" style="1" customWidth="1"/>
    <col min="8967" max="8968" width="11.7109375" style="1" customWidth="1"/>
    <col min="8969" max="8970" width="8.85546875" style="1"/>
    <col min="8971" max="8971" width="10.5703125" style="1" bestFit="1" customWidth="1"/>
    <col min="8972" max="9216" width="8.85546875" style="1"/>
    <col min="9217" max="9217" width="23.140625" style="1" customWidth="1"/>
    <col min="9218" max="9219" width="0" style="1" hidden="1" customWidth="1"/>
    <col min="9220" max="9220" width="8.28515625" style="1" customWidth="1"/>
    <col min="9221" max="9221" width="12.28515625" style="1" customWidth="1"/>
    <col min="9222" max="9222" width="8.42578125" style="1" customWidth="1"/>
    <col min="9223" max="9224" width="11.7109375" style="1" customWidth="1"/>
    <col min="9225" max="9226" width="8.85546875" style="1"/>
    <col min="9227" max="9227" width="10.5703125" style="1" bestFit="1" customWidth="1"/>
    <col min="9228" max="9472" width="8.85546875" style="1"/>
    <col min="9473" max="9473" width="23.140625" style="1" customWidth="1"/>
    <col min="9474" max="9475" width="0" style="1" hidden="1" customWidth="1"/>
    <col min="9476" max="9476" width="8.28515625" style="1" customWidth="1"/>
    <col min="9477" max="9477" width="12.28515625" style="1" customWidth="1"/>
    <col min="9478" max="9478" width="8.42578125" style="1" customWidth="1"/>
    <col min="9479" max="9480" width="11.7109375" style="1" customWidth="1"/>
    <col min="9481" max="9482" width="8.85546875" style="1"/>
    <col min="9483" max="9483" width="10.5703125" style="1" bestFit="1" customWidth="1"/>
    <col min="9484" max="9728" width="8.85546875" style="1"/>
    <col min="9729" max="9729" width="23.140625" style="1" customWidth="1"/>
    <col min="9730" max="9731" width="0" style="1" hidden="1" customWidth="1"/>
    <col min="9732" max="9732" width="8.28515625" style="1" customWidth="1"/>
    <col min="9733" max="9733" width="12.28515625" style="1" customWidth="1"/>
    <col min="9734" max="9734" width="8.42578125" style="1" customWidth="1"/>
    <col min="9735" max="9736" width="11.7109375" style="1" customWidth="1"/>
    <col min="9737" max="9738" width="8.85546875" style="1"/>
    <col min="9739" max="9739" width="10.5703125" style="1" bestFit="1" customWidth="1"/>
    <col min="9740" max="9984" width="8.85546875" style="1"/>
    <col min="9985" max="9985" width="23.140625" style="1" customWidth="1"/>
    <col min="9986" max="9987" width="0" style="1" hidden="1" customWidth="1"/>
    <col min="9988" max="9988" width="8.28515625" style="1" customWidth="1"/>
    <col min="9989" max="9989" width="12.28515625" style="1" customWidth="1"/>
    <col min="9990" max="9990" width="8.42578125" style="1" customWidth="1"/>
    <col min="9991" max="9992" width="11.7109375" style="1" customWidth="1"/>
    <col min="9993" max="9994" width="8.85546875" style="1"/>
    <col min="9995" max="9995" width="10.5703125" style="1" bestFit="1" customWidth="1"/>
    <col min="9996" max="10240" width="8.85546875" style="1"/>
    <col min="10241" max="10241" width="23.140625" style="1" customWidth="1"/>
    <col min="10242" max="10243" width="0" style="1" hidden="1" customWidth="1"/>
    <col min="10244" max="10244" width="8.28515625" style="1" customWidth="1"/>
    <col min="10245" max="10245" width="12.28515625" style="1" customWidth="1"/>
    <col min="10246" max="10246" width="8.42578125" style="1" customWidth="1"/>
    <col min="10247" max="10248" width="11.7109375" style="1" customWidth="1"/>
    <col min="10249" max="10250" width="8.85546875" style="1"/>
    <col min="10251" max="10251" width="10.5703125" style="1" bestFit="1" customWidth="1"/>
    <col min="10252" max="10496" width="8.85546875" style="1"/>
    <col min="10497" max="10497" width="23.140625" style="1" customWidth="1"/>
    <col min="10498" max="10499" width="0" style="1" hidden="1" customWidth="1"/>
    <col min="10500" max="10500" width="8.28515625" style="1" customWidth="1"/>
    <col min="10501" max="10501" width="12.28515625" style="1" customWidth="1"/>
    <col min="10502" max="10502" width="8.42578125" style="1" customWidth="1"/>
    <col min="10503" max="10504" width="11.7109375" style="1" customWidth="1"/>
    <col min="10505" max="10506" width="8.85546875" style="1"/>
    <col min="10507" max="10507" width="10.5703125" style="1" bestFit="1" customWidth="1"/>
    <col min="10508" max="10752" width="8.85546875" style="1"/>
    <col min="10753" max="10753" width="23.140625" style="1" customWidth="1"/>
    <col min="10754" max="10755" width="0" style="1" hidden="1" customWidth="1"/>
    <col min="10756" max="10756" width="8.28515625" style="1" customWidth="1"/>
    <col min="10757" max="10757" width="12.28515625" style="1" customWidth="1"/>
    <col min="10758" max="10758" width="8.42578125" style="1" customWidth="1"/>
    <col min="10759" max="10760" width="11.7109375" style="1" customWidth="1"/>
    <col min="10761" max="10762" width="8.85546875" style="1"/>
    <col min="10763" max="10763" width="10.5703125" style="1" bestFit="1" customWidth="1"/>
    <col min="10764" max="11008" width="8.85546875" style="1"/>
    <col min="11009" max="11009" width="23.140625" style="1" customWidth="1"/>
    <col min="11010" max="11011" width="0" style="1" hidden="1" customWidth="1"/>
    <col min="11012" max="11012" width="8.28515625" style="1" customWidth="1"/>
    <col min="11013" max="11013" width="12.28515625" style="1" customWidth="1"/>
    <col min="11014" max="11014" width="8.42578125" style="1" customWidth="1"/>
    <col min="11015" max="11016" width="11.7109375" style="1" customWidth="1"/>
    <col min="11017" max="11018" width="8.85546875" style="1"/>
    <col min="11019" max="11019" width="10.5703125" style="1" bestFit="1" customWidth="1"/>
    <col min="11020" max="11264" width="8.85546875" style="1"/>
    <col min="11265" max="11265" width="23.140625" style="1" customWidth="1"/>
    <col min="11266" max="11267" width="0" style="1" hidden="1" customWidth="1"/>
    <col min="11268" max="11268" width="8.28515625" style="1" customWidth="1"/>
    <col min="11269" max="11269" width="12.28515625" style="1" customWidth="1"/>
    <col min="11270" max="11270" width="8.42578125" style="1" customWidth="1"/>
    <col min="11271" max="11272" width="11.7109375" style="1" customWidth="1"/>
    <col min="11273" max="11274" width="8.85546875" style="1"/>
    <col min="11275" max="11275" width="10.5703125" style="1" bestFit="1" customWidth="1"/>
    <col min="11276" max="11520" width="8.85546875" style="1"/>
    <col min="11521" max="11521" width="23.140625" style="1" customWidth="1"/>
    <col min="11522" max="11523" width="0" style="1" hidden="1" customWidth="1"/>
    <col min="11524" max="11524" width="8.28515625" style="1" customWidth="1"/>
    <col min="11525" max="11525" width="12.28515625" style="1" customWidth="1"/>
    <col min="11526" max="11526" width="8.42578125" style="1" customWidth="1"/>
    <col min="11527" max="11528" width="11.7109375" style="1" customWidth="1"/>
    <col min="11529" max="11530" width="8.85546875" style="1"/>
    <col min="11531" max="11531" width="10.5703125" style="1" bestFit="1" customWidth="1"/>
    <col min="11532" max="11776" width="8.85546875" style="1"/>
    <col min="11777" max="11777" width="23.140625" style="1" customWidth="1"/>
    <col min="11778" max="11779" width="0" style="1" hidden="1" customWidth="1"/>
    <col min="11780" max="11780" width="8.28515625" style="1" customWidth="1"/>
    <col min="11781" max="11781" width="12.28515625" style="1" customWidth="1"/>
    <col min="11782" max="11782" width="8.42578125" style="1" customWidth="1"/>
    <col min="11783" max="11784" width="11.7109375" style="1" customWidth="1"/>
    <col min="11785" max="11786" width="8.85546875" style="1"/>
    <col min="11787" max="11787" width="10.5703125" style="1" bestFit="1" customWidth="1"/>
    <col min="11788" max="12032" width="8.85546875" style="1"/>
    <col min="12033" max="12033" width="23.140625" style="1" customWidth="1"/>
    <col min="12034" max="12035" width="0" style="1" hidden="1" customWidth="1"/>
    <col min="12036" max="12036" width="8.28515625" style="1" customWidth="1"/>
    <col min="12037" max="12037" width="12.28515625" style="1" customWidth="1"/>
    <col min="12038" max="12038" width="8.42578125" style="1" customWidth="1"/>
    <col min="12039" max="12040" width="11.7109375" style="1" customWidth="1"/>
    <col min="12041" max="12042" width="8.85546875" style="1"/>
    <col min="12043" max="12043" width="10.5703125" style="1" bestFit="1" customWidth="1"/>
    <col min="12044" max="12288" width="8.85546875" style="1"/>
    <col min="12289" max="12289" width="23.140625" style="1" customWidth="1"/>
    <col min="12290" max="12291" width="0" style="1" hidden="1" customWidth="1"/>
    <col min="12292" max="12292" width="8.28515625" style="1" customWidth="1"/>
    <col min="12293" max="12293" width="12.28515625" style="1" customWidth="1"/>
    <col min="12294" max="12294" width="8.42578125" style="1" customWidth="1"/>
    <col min="12295" max="12296" width="11.7109375" style="1" customWidth="1"/>
    <col min="12297" max="12298" width="8.85546875" style="1"/>
    <col min="12299" max="12299" width="10.5703125" style="1" bestFit="1" customWidth="1"/>
    <col min="12300" max="12544" width="8.85546875" style="1"/>
    <col min="12545" max="12545" width="23.140625" style="1" customWidth="1"/>
    <col min="12546" max="12547" width="0" style="1" hidden="1" customWidth="1"/>
    <col min="12548" max="12548" width="8.28515625" style="1" customWidth="1"/>
    <col min="12549" max="12549" width="12.28515625" style="1" customWidth="1"/>
    <col min="12550" max="12550" width="8.42578125" style="1" customWidth="1"/>
    <col min="12551" max="12552" width="11.7109375" style="1" customWidth="1"/>
    <col min="12553" max="12554" width="8.85546875" style="1"/>
    <col min="12555" max="12555" width="10.5703125" style="1" bestFit="1" customWidth="1"/>
    <col min="12556" max="12800" width="8.85546875" style="1"/>
    <col min="12801" max="12801" width="23.140625" style="1" customWidth="1"/>
    <col min="12802" max="12803" width="0" style="1" hidden="1" customWidth="1"/>
    <col min="12804" max="12804" width="8.28515625" style="1" customWidth="1"/>
    <col min="12805" max="12805" width="12.28515625" style="1" customWidth="1"/>
    <col min="12806" max="12806" width="8.42578125" style="1" customWidth="1"/>
    <col min="12807" max="12808" width="11.7109375" style="1" customWidth="1"/>
    <col min="12809" max="12810" width="8.85546875" style="1"/>
    <col min="12811" max="12811" width="10.5703125" style="1" bestFit="1" customWidth="1"/>
    <col min="12812" max="13056" width="8.85546875" style="1"/>
    <col min="13057" max="13057" width="23.140625" style="1" customWidth="1"/>
    <col min="13058" max="13059" width="0" style="1" hidden="1" customWidth="1"/>
    <col min="13060" max="13060" width="8.28515625" style="1" customWidth="1"/>
    <col min="13061" max="13061" width="12.28515625" style="1" customWidth="1"/>
    <col min="13062" max="13062" width="8.42578125" style="1" customWidth="1"/>
    <col min="13063" max="13064" width="11.7109375" style="1" customWidth="1"/>
    <col min="13065" max="13066" width="8.85546875" style="1"/>
    <col min="13067" max="13067" width="10.5703125" style="1" bestFit="1" customWidth="1"/>
    <col min="13068" max="13312" width="8.85546875" style="1"/>
    <col min="13313" max="13313" width="23.140625" style="1" customWidth="1"/>
    <col min="13314" max="13315" width="0" style="1" hidden="1" customWidth="1"/>
    <col min="13316" max="13316" width="8.28515625" style="1" customWidth="1"/>
    <col min="13317" max="13317" width="12.28515625" style="1" customWidth="1"/>
    <col min="13318" max="13318" width="8.42578125" style="1" customWidth="1"/>
    <col min="13319" max="13320" width="11.7109375" style="1" customWidth="1"/>
    <col min="13321" max="13322" width="8.85546875" style="1"/>
    <col min="13323" max="13323" width="10.5703125" style="1" bestFit="1" customWidth="1"/>
    <col min="13324" max="13568" width="8.85546875" style="1"/>
    <col min="13569" max="13569" width="23.140625" style="1" customWidth="1"/>
    <col min="13570" max="13571" width="0" style="1" hidden="1" customWidth="1"/>
    <col min="13572" max="13572" width="8.28515625" style="1" customWidth="1"/>
    <col min="13573" max="13573" width="12.28515625" style="1" customWidth="1"/>
    <col min="13574" max="13574" width="8.42578125" style="1" customWidth="1"/>
    <col min="13575" max="13576" width="11.7109375" style="1" customWidth="1"/>
    <col min="13577" max="13578" width="8.85546875" style="1"/>
    <col min="13579" max="13579" width="10.5703125" style="1" bestFit="1" customWidth="1"/>
    <col min="13580" max="13824" width="8.85546875" style="1"/>
    <col min="13825" max="13825" width="23.140625" style="1" customWidth="1"/>
    <col min="13826" max="13827" width="0" style="1" hidden="1" customWidth="1"/>
    <col min="13828" max="13828" width="8.28515625" style="1" customWidth="1"/>
    <col min="13829" max="13829" width="12.28515625" style="1" customWidth="1"/>
    <col min="13830" max="13830" width="8.42578125" style="1" customWidth="1"/>
    <col min="13831" max="13832" width="11.7109375" style="1" customWidth="1"/>
    <col min="13833" max="13834" width="8.85546875" style="1"/>
    <col min="13835" max="13835" width="10.5703125" style="1" bestFit="1" customWidth="1"/>
    <col min="13836" max="14080" width="8.85546875" style="1"/>
    <col min="14081" max="14081" width="23.140625" style="1" customWidth="1"/>
    <col min="14082" max="14083" width="0" style="1" hidden="1" customWidth="1"/>
    <col min="14084" max="14084" width="8.28515625" style="1" customWidth="1"/>
    <col min="14085" max="14085" width="12.28515625" style="1" customWidth="1"/>
    <col min="14086" max="14086" width="8.42578125" style="1" customWidth="1"/>
    <col min="14087" max="14088" width="11.7109375" style="1" customWidth="1"/>
    <col min="14089" max="14090" width="8.85546875" style="1"/>
    <col min="14091" max="14091" width="10.5703125" style="1" bestFit="1" customWidth="1"/>
    <col min="14092" max="14336" width="8.85546875" style="1"/>
    <col min="14337" max="14337" width="23.140625" style="1" customWidth="1"/>
    <col min="14338" max="14339" width="0" style="1" hidden="1" customWidth="1"/>
    <col min="14340" max="14340" width="8.28515625" style="1" customWidth="1"/>
    <col min="14341" max="14341" width="12.28515625" style="1" customWidth="1"/>
    <col min="14342" max="14342" width="8.42578125" style="1" customWidth="1"/>
    <col min="14343" max="14344" width="11.7109375" style="1" customWidth="1"/>
    <col min="14345" max="14346" width="8.85546875" style="1"/>
    <col min="14347" max="14347" width="10.5703125" style="1" bestFit="1" customWidth="1"/>
    <col min="14348" max="14592" width="8.85546875" style="1"/>
    <col min="14593" max="14593" width="23.140625" style="1" customWidth="1"/>
    <col min="14594" max="14595" width="0" style="1" hidden="1" customWidth="1"/>
    <col min="14596" max="14596" width="8.28515625" style="1" customWidth="1"/>
    <col min="14597" max="14597" width="12.28515625" style="1" customWidth="1"/>
    <col min="14598" max="14598" width="8.42578125" style="1" customWidth="1"/>
    <col min="14599" max="14600" width="11.7109375" style="1" customWidth="1"/>
    <col min="14601" max="14602" width="8.85546875" style="1"/>
    <col min="14603" max="14603" width="10.5703125" style="1" bestFit="1" customWidth="1"/>
    <col min="14604" max="14848" width="8.85546875" style="1"/>
    <col min="14849" max="14849" width="23.140625" style="1" customWidth="1"/>
    <col min="14850" max="14851" width="0" style="1" hidden="1" customWidth="1"/>
    <col min="14852" max="14852" width="8.28515625" style="1" customWidth="1"/>
    <col min="14853" max="14853" width="12.28515625" style="1" customWidth="1"/>
    <col min="14854" max="14854" width="8.42578125" style="1" customWidth="1"/>
    <col min="14855" max="14856" width="11.7109375" style="1" customWidth="1"/>
    <col min="14857" max="14858" width="8.85546875" style="1"/>
    <col min="14859" max="14859" width="10.5703125" style="1" bestFit="1" customWidth="1"/>
    <col min="14860" max="15104" width="8.85546875" style="1"/>
    <col min="15105" max="15105" width="23.140625" style="1" customWidth="1"/>
    <col min="15106" max="15107" width="0" style="1" hidden="1" customWidth="1"/>
    <col min="15108" max="15108" width="8.28515625" style="1" customWidth="1"/>
    <col min="15109" max="15109" width="12.28515625" style="1" customWidth="1"/>
    <col min="15110" max="15110" width="8.42578125" style="1" customWidth="1"/>
    <col min="15111" max="15112" width="11.7109375" style="1" customWidth="1"/>
    <col min="15113" max="15114" width="8.85546875" style="1"/>
    <col min="15115" max="15115" width="10.5703125" style="1" bestFit="1" customWidth="1"/>
    <col min="15116" max="15360" width="8.85546875" style="1"/>
    <col min="15361" max="15361" width="23.140625" style="1" customWidth="1"/>
    <col min="15362" max="15363" width="0" style="1" hidden="1" customWidth="1"/>
    <col min="15364" max="15364" width="8.28515625" style="1" customWidth="1"/>
    <col min="15365" max="15365" width="12.28515625" style="1" customWidth="1"/>
    <col min="15366" max="15366" width="8.42578125" style="1" customWidth="1"/>
    <col min="15367" max="15368" width="11.7109375" style="1" customWidth="1"/>
    <col min="15369" max="15370" width="8.85546875" style="1"/>
    <col min="15371" max="15371" width="10.5703125" style="1" bestFit="1" customWidth="1"/>
    <col min="15372" max="15616" width="8.85546875" style="1"/>
    <col min="15617" max="15617" width="23.140625" style="1" customWidth="1"/>
    <col min="15618" max="15619" width="0" style="1" hidden="1" customWidth="1"/>
    <col min="15620" max="15620" width="8.28515625" style="1" customWidth="1"/>
    <col min="15621" max="15621" width="12.28515625" style="1" customWidth="1"/>
    <col min="15622" max="15622" width="8.42578125" style="1" customWidth="1"/>
    <col min="15623" max="15624" width="11.7109375" style="1" customWidth="1"/>
    <col min="15625" max="15626" width="8.85546875" style="1"/>
    <col min="15627" max="15627" width="10.5703125" style="1" bestFit="1" customWidth="1"/>
    <col min="15628" max="15872" width="8.85546875" style="1"/>
    <col min="15873" max="15873" width="23.140625" style="1" customWidth="1"/>
    <col min="15874" max="15875" width="0" style="1" hidden="1" customWidth="1"/>
    <col min="15876" max="15876" width="8.28515625" style="1" customWidth="1"/>
    <col min="15877" max="15877" width="12.28515625" style="1" customWidth="1"/>
    <col min="15878" max="15878" width="8.42578125" style="1" customWidth="1"/>
    <col min="15879" max="15880" width="11.7109375" style="1" customWidth="1"/>
    <col min="15881" max="15882" width="8.85546875" style="1"/>
    <col min="15883" max="15883" width="10.5703125" style="1" bestFit="1" customWidth="1"/>
    <col min="15884" max="16128" width="8.85546875" style="1"/>
    <col min="16129" max="16129" width="23.140625" style="1" customWidth="1"/>
    <col min="16130" max="16131" width="0" style="1" hidden="1" customWidth="1"/>
    <col min="16132" max="16132" width="8.28515625" style="1" customWidth="1"/>
    <col min="16133" max="16133" width="12.28515625" style="1" customWidth="1"/>
    <col min="16134" max="16134" width="8.42578125" style="1" customWidth="1"/>
    <col min="16135" max="16136" width="11.7109375" style="1" customWidth="1"/>
    <col min="16137" max="16138" width="8.85546875" style="1"/>
    <col min="16139" max="16139" width="10.5703125" style="1" bestFit="1" customWidth="1"/>
    <col min="16140" max="16384" width="8.85546875" style="1"/>
  </cols>
  <sheetData>
    <row r="1" spans="1:11" ht="18.75" x14ac:dyDescent="0.3">
      <c r="A1" s="34" t="s">
        <v>0</v>
      </c>
      <c r="B1" s="34"/>
      <c r="C1" s="34"/>
      <c r="D1" s="35"/>
      <c r="E1" s="35"/>
      <c r="F1" s="35"/>
      <c r="G1" s="35"/>
      <c r="H1" s="35"/>
    </row>
    <row r="2" spans="1:11" ht="18.75" x14ac:dyDescent="0.3">
      <c r="A2" s="36" t="s">
        <v>1</v>
      </c>
      <c r="B2" s="36"/>
      <c r="C2" s="36"/>
      <c r="D2" s="37"/>
      <c r="E2" s="37"/>
      <c r="F2" s="37"/>
      <c r="G2" s="37"/>
      <c r="H2" s="37"/>
    </row>
    <row r="3" spans="1:11" ht="27" customHeight="1" x14ac:dyDescent="0.2">
      <c r="A3" s="38"/>
      <c r="B3" s="40" t="s">
        <v>2</v>
      </c>
      <c r="C3" s="41"/>
      <c r="D3" s="40" t="s">
        <v>3</v>
      </c>
      <c r="E3" s="41"/>
      <c r="F3" s="42" t="s">
        <v>4</v>
      </c>
      <c r="G3" s="43"/>
      <c r="H3" s="44"/>
    </row>
    <row r="4" spans="1:11" ht="51" customHeight="1" x14ac:dyDescent="0.2">
      <c r="A4" s="39"/>
      <c r="B4" s="2" t="s">
        <v>5</v>
      </c>
      <c r="C4" s="2" t="s">
        <v>6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11" ht="18" customHeight="1" x14ac:dyDescent="0.25">
      <c r="A5" s="30" t="s">
        <v>36</v>
      </c>
      <c r="B5" s="31"/>
      <c r="C5" s="31"/>
      <c r="D5" s="32"/>
      <c r="E5" s="32"/>
      <c r="F5" s="32"/>
      <c r="G5" s="32"/>
      <c r="H5" s="33"/>
    </row>
    <row r="6" spans="1:11" ht="15.75" x14ac:dyDescent="0.25">
      <c r="A6" s="16" t="s">
        <v>10</v>
      </c>
      <c r="B6" s="4">
        <v>3291.2</v>
      </c>
      <c r="C6" s="5">
        <v>57592.14</v>
      </c>
      <c r="D6" s="6">
        <f>SUM(D7:D14)</f>
        <v>112.5</v>
      </c>
      <c r="E6" s="8">
        <f>SUM(E7:E14)</f>
        <v>4590.5000000000009</v>
      </c>
      <c r="F6" s="6">
        <f>D6</f>
        <v>112.5</v>
      </c>
      <c r="G6" s="7"/>
      <c r="H6" s="8">
        <f>F6*G6/1000</f>
        <v>0</v>
      </c>
      <c r="K6" s="9"/>
    </row>
    <row r="7" spans="1:11" x14ac:dyDescent="0.2">
      <c r="A7" s="10" t="s">
        <v>37</v>
      </c>
      <c r="B7" s="10"/>
      <c r="C7" s="10"/>
      <c r="D7" s="11"/>
      <c r="E7" s="12">
        <f>110.4</f>
        <v>110.4</v>
      </c>
      <c r="F7" s="13"/>
      <c r="G7" s="14"/>
      <c r="H7" s="15"/>
      <c r="K7" s="9"/>
    </row>
    <row r="8" spans="1:11" x14ac:dyDescent="0.2">
      <c r="A8" s="10" t="s">
        <v>12</v>
      </c>
      <c r="B8" s="10"/>
      <c r="C8" s="10"/>
      <c r="D8" s="11">
        <f>15.5</f>
        <v>15.5</v>
      </c>
      <c r="E8" s="12">
        <f>790.5</f>
        <v>790.5</v>
      </c>
      <c r="F8" s="13"/>
      <c r="G8" s="14"/>
      <c r="H8" s="15"/>
      <c r="K8" s="9"/>
    </row>
    <row r="9" spans="1:11" x14ac:dyDescent="0.2">
      <c r="A9" s="10" t="s">
        <v>13</v>
      </c>
      <c r="B9" s="10"/>
      <c r="C9" s="10"/>
      <c r="D9" s="11">
        <f>14.5+7.5</f>
        <v>22</v>
      </c>
      <c r="E9" s="11">
        <f>739.5+367.5+110.4</f>
        <v>1217.4000000000001</v>
      </c>
      <c r="F9" s="13"/>
      <c r="G9" s="14"/>
      <c r="H9" s="15"/>
      <c r="K9" s="9"/>
    </row>
    <row r="10" spans="1:11" x14ac:dyDescent="0.2">
      <c r="A10" s="10" t="s">
        <v>30</v>
      </c>
      <c r="B10" s="10"/>
      <c r="C10" s="10"/>
      <c r="D10" s="11">
        <f>6+9</f>
        <v>15</v>
      </c>
      <c r="E10" s="12">
        <f>185.55+468</f>
        <v>653.54999999999995</v>
      </c>
      <c r="F10" s="13"/>
      <c r="G10" s="14"/>
      <c r="H10" s="15"/>
      <c r="K10" s="9"/>
    </row>
    <row r="11" spans="1:11" x14ac:dyDescent="0.2">
      <c r="A11" s="10" t="s">
        <v>14</v>
      </c>
      <c r="B11" s="10"/>
      <c r="C11" s="10"/>
      <c r="D11" s="11">
        <f>43</f>
        <v>43</v>
      </c>
      <c r="E11" s="12">
        <f>291.58+1003.47</f>
        <v>1295.05</v>
      </c>
      <c r="F11" s="13"/>
      <c r="G11" s="14"/>
      <c r="H11" s="15"/>
      <c r="K11" s="9"/>
    </row>
    <row r="12" spans="1:11" x14ac:dyDescent="0.2">
      <c r="A12" s="10" t="s">
        <v>11</v>
      </c>
      <c r="B12" s="10"/>
      <c r="C12" s="10"/>
      <c r="D12" s="11">
        <f>9</f>
        <v>9</v>
      </c>
      <c r="E12" s="12">
        <f>273.67</f>
        <v>273.67</v>
      </c>
      <c r="F12" s="13"/>
      <c r="G12" s="14"/>
      <c r="H12" s="15"/>
      <c r="K12" s="9"/>
    </row>
    <row r="13" spans="1:11" x14ac:dyDescent="0.2">
      <c r="A13" s="10" t="s">
        <v>28</v>
      </c>
      <c r="B13" s="10"/>
      <c r="C13" s="10"/>
      <c r="D13" s="11">
        <f>8</f>
        <v>8</v>
      </c>
      <c r="E13" s="12">
        <f>249.93</f>
        <v>249.93</v>
      </c>
      <c r="F13" s="13"/>
      <c r="G13" s="14"/>
      <c r="H13" s="15"/>
      <c r="K13" s="9"/>
    </row>
    <row r="14" spans="1:11" x14ac:dyDescent="0.2">
      <c r="A14" s="10" t="s">
        <v>38</v>
      </c>
      <c r="B14" s="10"/>
      <c r="C14" s="10"/>
      <c r="D14" s="11"/>
      <c r="E14" s="12"/>
      <c r="F14" s="13"/>
      <c r="G14" s="14"/>
      <c r="H14" s="15"/>
      <c r="K14" s="9"/>
    </row>
    <row r="15" spans="1:11" ht="15.75" x14ac:dyDescent="0.25">
      <c r="A15" s="16" t="s">
        <v>16</v>
      </c>
      <c r="B15" s="10"/>
      <c r="C15" s="10"/>
      <c r="D15" s="6">
        <f>SUM(D16:D20)</f>
        <v>544.5</v>
      </c>
      <c r="E15" s="8">
        <f>SUM(E16:E20)</f>
        <v>26967.5</v>
      </c>
      <c r="F15" s="13"/>
      <c r="G15" s="14"/>
      <c r="H15" s="15"/>
      <c r="K15" s="9"/>
    </row>
    <row r="16" spans="1:11" x14ac:dyDescent="0.2">
      <c r="A16" s="10" t="s">
        <v>37</v>
      </c>
      <c r="B16" s="10"/>
      <c r="C16" s="10"/>
      <c r="D16" s="11"/>
      <c r="E16" s="12"/>
      <c r="F16" s="13"/>
      <c r="G16" s="14"/>
      <c r="H16" s="15"/>
      <c r="K16" s="9"/>
    </row>
    <row r="17" spans="1:11" x14ac:dyDescent="0.2">
      <c r="A17" s="10" t="s">
        <v>12</v>
      </c>
      <c r="B17" s="10"/>
      <c r="C17" s="10"/>
      <c r="D17" s="11">
        <f>15.5</f>
        <v>15.5</v>
      </c>
      <c r="E17" s="12">
        <f>728.5</f>
        <v>728.5</v>
      </c>
      <c r="F17" s="13"/>
      <c r="G17" s="14"/>
      <c r="H17" s="15"/>
      <c r="K17" s="9"/>
    </row>
    <row r="18" spans="1:11" x14ac:dyDescent="0.2">
      <c r="A18" s="10" t="s">
        <v>13</v>
      </c>
      <c r="B18" s="10"/>
      <c r="C18" s="10"/>
      <c r="D18" s="11">
        <f>75+136+128</f>
        <v>339</v>
      </c>
      <c r="E18" s="12">
        <f>3675+6664+1500+4900</f>
        <v>16739</v>
      </c>
      <c r="F18" s="13"/>
      <c r="G18" s="14"/>
      <c r="H18" s="15"/>
      <c r="K18" s="9"/>
    </row>
    <row r="19" spans="1:11" x14ac:dyDescent="0.2">
      <c r="A19" s="10" t="s">
        <v>30</v>
      </c>
      <c r="B19" s="10"/>
      <c r="C19" s="10"/>
      <c r="D19" s="11"/>
      <c r="E19" s="12"/>
      <c r="F19" s="13"/>
      <c r="G19" s="14"/>
      <c r="H19" s="15"/>
      <c r="K19" s="9"/>
    </row>
    <row r="20" spans="1:11" x14ac:dyDescent="0.2">
      <c r="A20" s="10" t="s">
        <v>15</v>
      </c>
      <c r="B20" s="10"/>
      <c r="C20" s="10"/>
      <c r="D20" s="11">
        <v>190</v>
      </c>
      <c r="E20" s="12">
        <v>9500</v>
      </c>
      <c r="F20" s="13"/>
      <c r="G20" s="14"/>
      <c r="H20" s="15"/>
      <c r="K20" s="9"/>
    </row>
    <row r="21" spans="1:11" ht="15.75" x14ac:dyDescent="0.25">
      <c r="A21" s="16" t="s">
        <v>17</v>
      </c>
      <c r="B21" s="4">
        <v>3302</v>
      </c>
      <c r="C21" s="5">
        <v>58030.98</v>
      </c>
      <c r="D21" s="6">
        <f>SUM(D22:D28)</f>
        <v>2743.1</v>
      </c>
      <c r="E21" s="8">
        <f>SUM(E22:E28)</f>
        <v>111453.23</v>
      </c>
      <c r="F21" s="6">
        <f>D21</f>
        <v>2743.1</v>
      </c>
      <c r="G21" s="7"/>
      <c r="H21" s="8">
        <f>F21*G21/1000</f>
        <v>0</v>
      </c>
    </row>
    <row r="22" spans="1:11" ht="15.75" x14ac:dyDescent="0.25">
      <c r="A22" s="10" t="s">
        <v>18</v>
      </c>
      <c r="B22" s="10"/>
      <c r="C22" s="10"/>
      <c r="D22" s="11">
        <f>39.4+22+43.8+4.1+33.3+36.6+45+31+65.5+12+44+25+49.5</f>
        <v>451.19999999999993</v>
      </c>
      <c r="E22" s="12">
        <f>918.02+512.6+78.13+1436.04+153.37+173.8+975.35+1282.71+2565+1767+3733.5+660+238.5+2014.5+1375+2772</f>
        <v>20655.52</v>
      </c>
      <c r="F22" s="6"/>
      <c r="G22" s="24"/>
      <c r="H22" s="21"/>
      <c r="I22" s="25"/>
    </row>
    <row r="23" spans="1:11" x14ac:dyDescent="0.2">
      <c r="A23" s="10" t="s">
        <v>19</v>
      </c>
      <c r="B23" s="10"/>
      <c r="C23" s="10"/>
      <c r="D23" s="11">
        <f>181+58.7+42+69.6+76+51+10.5+103.5+83+63.5+98+52+107.5</f>
        <v>996.3</v>
      </c>
      <c r="E23" s="12">
        <f>4217.3+1482.18+1334.58+2211.6+2663.55+2907+598.5+1482+4417.5+4731+954+2502.5+4998+2860+5555+364</f>
        <v>43278.71</v>
      </c>
      <c r="F23" s="13"/>
      <c r="G23" s="22"/>
      <c r="H23" s="23"/>
      <c r="I23" s="25"/>
    </row>
    <row r="24" spans="1:11" x14ac:dyDescent="0.2">
      <c r="A24" s="10" t="s">
        <v>29</v>
      </c>
      <c r="B24" s="10"/>
      <c r="C24" s="10"/>
      <c r="D24" s="11">
        <f>45.53</f>
        <v>45.53</v>
      </c>
      <c r="E24" s="12">
        <f>885.82+432.91</f>
        <v>1318.73</v>
      </c>
      <c r="F24" s="13"/>
      <c r="G24" s="22"/>
      <c r="H24" s="23"/>
      <c r="I24" s="25"/>
    </row>
    <row r="25" spans="1:11" x14ac:dyDescent="0.2">
      <c r="A25" s="10" t="s">
        <v>20</v>
      </c>
      <c r="B25" s="10"/>
      <c r="C25" s="10"/>
      <c r="D25" s="11">
        <f>101+20.8+10.4+2.5</f>
        <v>134.69999999999999</v>
      </c>
      <c r="E25" s="12">
        <f>49.5+2302.04+32.62+452.02+233+7.56+57+47.66</f>
        <v>3181.3999999999996</v>
      </c>
      <c r="F25" s="13"/>
      <c r="G25" s="22"/>
      <c r="H25" s="23"/>
      <c r="I25" s="25"/>
    </row>
    <row r="26" spans="1:11" x14ac:dyDescent="0.2">
      <c r="A26" s="10" t="s">
        <v>21</v>
      </c>
      <c r="B26" s="10"/>
      <c r="C26" s="10"/>
      <c r="D26" s="11">
        <f>172.6+43+8.2+126+8.2</f>
        <v>357.99999999999994</v>
      </c>
      <c r="E26" s="12">
        <f>2710.34+1272.16+949.55+1366.36+191.06+4601.23+287.38</f>
        <v>11378.08</v>
      </c>
      <c r="F26" s="13"/>
      <c r="G26" s="22"/>
      <c r="H26" s="23"/>
      <c r="I26" s="25"/>
    </row>
    <row r="27" spans="1:11" x14ac:dyDescent="0.2">
      <c r="A27" s="17" t="s">
        <v>22</v>
      </c>
      <c r="B27" s="26"/>
      <c r="C27" s="26"/>
      <c r="D27" s="11">
        <f>89.5+39+138.87+105.4+74.4+86.8+35.6+1.6+74.4+55.8</f>
        <v>701.36999999999989</v>
      </c>
      <c r="E27" s="12">
        <f>94.5+466+1521.49+39.61+941.82+1543.46+1382.8+2146.11+5.67+3029.81+3422.4+4947.6+1886.8+46.12+4017.6+3069</f>
        <v>28560.789999999997</v>
      </c>
      <c r="F27" s="13"/>
      <c r="G27" s="22"/>
      <c r="H27" s="23"/>
      <c r="I27" s="25"/>
    </row>
    <row r="28" spans="1:11" x14ac:dyDescent="0.2">
      <c r="A28" s="10" t="s">
        <v>15</v>
      </c>
      <c r="B28" s="26"/>
      <c r="C28" s="26"/>
      <c r="D28" s="11">
        <v>56</v>
      </c>
      <c r="E28" s="12">
        <v>3080</v>
      </c>
      <c r="F28" s="13"/>
      <c r="G28" s="22"/>
      <c r="H28" s="23"/>
      <c r="I28" s="25"/>
    </row>
    <row r="29" spans="1:11" ht="15.75" x14ac:dyDescent="0.25">
      <c r="A29" s="16" t="s">
        <v>23</v>
      </c>
      <c r="B29" s="4">
        <v>28.2</v>
      </c>
      <c r="C29" s="5">
        <v>298.22000000000003</v>
      </c>
      <c r="D29" s="6">
        <f>D30</f>
        <v>4.5</v>
      </c>
      <c r="E29" s="8">
        <f>E30</f>
        <v>132.48000000000002</v>
      </c>
      <c r="F29" s="6">
        <f>D29</f>
        <v>4.5</v>
      </c>
      <c r="G29" s="7"/>
      <c r="H29" s="8">
        <f>F29*G29/1000</f>
        <v>0</v>
      </c>
      <c r="I29" s="25"/>
    </row>
    <row r="30" spans="1:11" x14ac:dyDescent="0.2">
      <c r="A30" s="10" t="s">
        <v>30</v>
      </c>
      <c r="B30" s="10"/>
      <c r="C30" s="10"/>
      <c r="D30" s="11">
        <f>2+2.5</f>
        <v>4.5</v>
      </c>
      <c r="E30" s="12">
        <f>58+74.48</f>
        <v>132.48000000000002</v>
      </c>
      <c r="F30" s="13"/>
      <c r="G30" s="14"/>
      <c r="H30" s="15"/>
      <c r="I30" s="25"/>
    </row>
    <row r="31" spans="1:11" ht="15.75" x14ac:dyDescent="0.25">
      <c r="A31" s="3" t="s">
        <v>39</v>
      </c>
      <c r="B31" s="4">
        <v>90</v>
      </c>
      <c r="C31" s="5">
        <v>4374.5200000000004</v>
      </c>
      <c r="D31" s="6">
        <f>1+1</f>
        <v>2</v>
      </c>
      <c r="E31" s="8">
        <f>70+110</f>
        <v>180</v>
      </c>
      <c r="F31" s="6">
        <f>D31</f>
        <v>2</v>
      </c>
      <c r="G31" s="7"/>
      <c r="H31" s="8">
        <f>F31*G31/1000</f>
        <v>0</v>
      </c>
      <c r="I31" s="25"/>
    </row>
    <row r="32" spans="1:11" s="28" customFormat="1" ht="15.75" x14ac:dyDescent="0.25">
      <c r="A32" s="16" t="s">
        <v>24</v>
      </c>
      <c r="B32" s="4">
        <v>25</v>
      </c>
      <c r="C32" s="5">
        <v>1062.8499999999999</v>
      </c>
      <c r="D32" s="6">
        <f>8+20.25</f>
        <v>28.25</v>
      </c>
      <c r="E32" s="8">
        <f>246.87+624.9</f>
        <v>871.77</v>
      </c>
      <c r="F32" s="6">
        <f t="shared" ref="F32:F45" si="0">D32</f>
        <v>28.25</v>
      </c>
      <c r="G32" s="7"/>
      <c r="H32" s="8">
        <f t="shared" ref="H32:H45" si="1">F32*G32/1000</f>
        <v>0</v>
      </c>
      <c r="I32" s="27"/>
    </row>
    <row r="33" spans="1:11" s="28" customFormat="1" ht="15.75" x14ac:dyDescent="0.25">
      <c r="A33" s="3" t="s">
        <v>31</v>
      </c>
      <c r="B33" s="4"/>
      <c r="C33" s="5"/>
      <c r="D33" s="6">
        <f>8</f>
        <v>8</v>
      </c>
      <c r="E33" s="8">
        <f>800</f>
        <v>800</v>
      </c>
      <c r="F33" s="6">
        <f>D33</f>
        <v>8</v>
      </c>
      <c r="G33" s="7"/>
      <c r="H33" s="8">
        <f>F33*G33/1000</f>
        <v>0</v>
      </c>
      <c r="I33" s="27"/>
    </row>
    <row r="34" spans="1:11" s="28" customFormat="1" ht="15.75" x14ac:dyDescent="0.25">
      <c r="A34" s="3" t="s">
        <v>40</v>
      </c>
      <c r="B34" s="3"/>
      <c r="C34" s="3"/>
      <c r="D34" s="6">
        <f>40+81</f>
        <v>121</v>
      </c>
      <c r="E34" s="8">
        <f>1866.62+7812.94</f>
        <v>9679.56</v>
      </c>
      <c r="F34" s="6">
        <f>D34</f>
        <v>121</v>
      </c>
      <c r="G34" s="7"/>
      <c r="H34" s="8">
        <f>F34*G34/1000</f>
        <v>0</v>
      </c>
      <c r="I34" s="27"/>
    </row>
    <row r="35" spans="1:11" s="28" customFormat="1" ht="15.75" x14ac:dyDescent="0.25">
      <c r="A35" s="3" t="s">
        <v>41</v>
      </c>
      <c r="B35" s="3"/>
      <c r="C35" s="3"/>
      <c r="D35" s="6">
        <f>50+15+10</f>
        <v>75</v>
      </c>
      <c r="E35" s="8">
        <f>572+4032+504+1008+1249</f>
        <v>7365</v>
      </c>
      <c r="F35" s="6">
        <f t="shared" si="0"/>
        <v>75</v>
      </c>
      <c r="G35" s="7"/>
      <c r="H35" s="8">
        <f t="shared" si="1"/>
        <v>0</v>
      </c>
      <c r="I35" s="27"/>
    </row>
    <row r="36" spans="1:11" s="28" customFormat="1" ht="15.75" x14ac:dyDescent="0.25">
      <c r="A36" s="3" t="s">
        <v>26</v>
      </c>
      <c r="B36" s="4">
        <v>75</v>
      </c>
      <c r="C36" s="5">
        <v>1643.73</v>
      </c>
      <c r="D36" s="6">
        <f>3+5+30+3+60+40+6</f>
        <v>147</v>
      </c>
      <c r="E36" s="8">
        <f>169.5+250+1472.76+147.28+2945.52+1963.68+2945.52</f>
        <v>9894.26</v>
      </c>
      <c r="F36" s="6">
        <f t="shared" si="0"/>
        <v>147</v>
      </c>
      <c r="G36" s="7"/>
      <c r="H36" s="8">
        <f t="shared" si="1"/>
        <v>0</v>
      </c>
      <c r="I36" s="27"/>
    </row>
    <row r="37" spans="1:11" s="28" customFormat="1" ht="15.75" x14ac:dyDescent="0.25">
      <c r="A37" s="3" t="s">
        <v>42</v>
      </c>
      <c r="B37" s="4">
        <v>3</v>
      </c>
      <c r="C37" s="5">
        <v>245.28</v>
      </c>
      <c r="D37" s="6">
        <f>2</f>
        <v>2</v>
      </c>
      <c r="E37" s="8">
        <f>2600</f>
        <v>2600</v>
      </c>
      <c r="F37" s="6">
        <f t="shared" si="0"/>
        <v>2</v>
      </c>
      <c r="G37" s="7"/>
      <c r="H37" s="8">
        <f t="shared" si="1"/>
        <v>0</v>
      </c>
      <c r="I37" s="27"/>
    </row>
    <row r="38" spans="1:11" s="28" customFormat="1" ht="15.75" x14ac:dyDescent="0.25">
      <c r="A38" s="3" t="s">
        <v>43</v>
      </c>
      <c r="B38" s="4"/>
      <c r="C38" s="5"/>
      <c r="D38" s="6">
        <f>2</f>
        <v>2</v>
      </c>
      <c r="E38" s="8">
        <f>140.7</f>
        <v>140.69999999999999</v>
      </c>
      <c r="F38" s="6">
        <f t="shared" si="0"/>
        <v>2</v>
      </c>
      <c r="G38" s="7"/>
      <c r="H38" s="8">
        <f t="shared" si="1"/>
        <v>0</v>
      </c>
      <c r="I38" s="27"/>
    </row>
    <row r="39" spans="1:11" s="28" customFormat="1" ht="15.75" x14ac:dyDescent="0.25">
      <c r="A39" s="3" t="s">
        <v>25</v>
      </c>
      <c r="B39" s="4"/>
      <c r="C39" s="5"/>
      <c r="D39" s="6">
        <f>5+5</f>
        <v>10</v>
      </c>
      <c r="E39" s="8">
        <f>330.63+330.63</f>
        <v>661.26</v>
      </c>
      <c r="F39" s="6">
        <f>D39</f>
        <v>10</v>
      </c>
      <c r="G39" s="7"/>
      <c r="H39" s="8">
        <f>F39*G39/1000</f>
        <v>0</v>
      </c>
      <c r="I39" s="27"/>
    </row>
    <row r="40" spans="1:11" s="28" customFormat="1" ht="15.75" x14ac:dyDescent="0.25">
      <c r="A40" s="3" t="s">
        <v>35</v>
      </c>
      <c r="B40" s="4"/>
      <c r="C40" s="5"/>
      <c r="D40" s="6">
        <f>30+8+3+12</f>
        <v>53</v>
      </c>
      <c r="E40" s="8">
        <f>2999.16+799.78+299.92+1199.66</f>
        <v>5298.5199999999995</v>
      </c>
      <c r="F40" s="6">
        <f>D40</f>
        <v>53</v>
      </c>
      <c r="G40" s="7"/>
      <c r="H40" s="8">
        <f>F40*G40/1000</f>
        <v>0</v>
      </c>
      <c r="I40" s="27"/>
    </row>
    <row r="41" spans="1:11" s="28" customFormat="1" ht="15.75" x14ac:dyDescent="0.25">
      <c r="A41" s="16" t="s">
        <v>33</v>
      </c>
      <c r="B41" s="4">
        <v>3</v>
      </c>
      <c r="C41" s="5">
        <v>282.12</v>
      </c>
      <c r="D41" s="6">
        <f>0.5+2+1</f>
        <v>3.5</v>
      </c>
      <c r="E41" s="8">
        <f>43+120+120</f>
        <v>283</v>
      </c>
      <c r="F41" s="6">
        <f t="shared" si="0"/>
        <v>3.5</v>
      </c>
      <c r="G41" s="7"/>
      <c r="H41" s="8">
        <f t="shared" si="1"/>
        <v>0</v>
      </c>
      <c r="I41" s="27"/>
    </row>
    <row r="42" spans="1:11" s="28" customFormat="1" ht="15.75" x14ac:dyDescent="0.25">
      <c r="A42" s="3" t="s">
        <v>32</v>
      </c>
      <c r="B42" s="4">
        <v>54</v>
      </c>
      <c r="C42" s="5">
        <v>2832.01</v>
      </c>
      <c r="D42" s="6">
        <f>5</f>
        <v>5</v>
      </c>
      <c r="E42" s="8">
        <f>326</f>
        <v>326</v>
      </c>
      <c r="F42" s="6">
        <f t="shared" si="0"/>
        <v>5</v>
      </c>
      <c r="G42" s="7"/>
      <c r="H42" s="8">
        <f t="shared" si="1"/>
        <v>0</v>
      </c>
      <c r="I42" s="27"/>
    </row>
    <row r="43" spans="1:11" s="28" customFormat="1" ht="15.75" x14ac:dyDescent="0.25">
      <c r="A43" s="16" t="s">
        <v>44</v>
      </c>
      <c r="B43" s="4">
        <v>9.5</v>
      </c>
      <c r="C43" s="5">
        <v>667.8</v>
      </c>
      <c r="D43" s="6">
        <f>3+2+1</f>
        <v>6</v>
      </c>
      <c r="E43" s="8">
        <f>246+500+200</f>
        <v>946</v>
      </c>
      <c r="F43" s="6">
        <f t="shared" si="0"/>
        <v>6</v>
      </c>
      <c r="G43" s="7"/>
      <c r="H43" s="8">
        <f t="shared" si="1"/>
        <v>0</v>
      </c>
      <c r="I43" s="27"/>
    </row>
    <row r="44" spans="1:11" s="28" customFormat="1" ht="15.75" x14ac:dyDescent="0.25">
      <c r="A44" s="3" t="s">
        <v>34</v>
      </c>
      <c r="B44" s="4">
        <v>30</v>
      </c>
      <c r="C44" s="5">
        <v>880.09</v>
      </c>
      <c r="D44" s="6">
        <f>4.5+1</f>
        <v>5.5</v>
      </c>
      <c r="E44" s="8">
        <f>565+235</f>
        <v>800</v>
      </c>
      <c r="F44" s="6">
        <f t="shared" si="0"/>
        <v>5.5</v>
      </c>
      <c r="G44" s="7"/>
      <c r="H44" s="8">
        <f t="shared" si="1"/>
        <v>0</v>
      </c>
      <c r="I44" s="27"/>
    </row>
    <row r="45" spans="1:11" s="28" customFormat="1" ht="15.75" x14ac:dyDescent="0.25">
      <c r="A45" s="3" t="s">
        <v>45</v>
      </c>
      <c r="B45" s="4"/>
      <c r="C45" s="5"/>
      <c r="D45" s="6">
        <f>0.25+0.15</f>
        <v>0.4</v>
      </c>
      <c r="E45" s="8">
        <f>145+78</f>
        <v>223</v>
      </c>
      <c r="F45" s="6">
        <f t="shared" si="0"/>
        <v>0.4</v>
      </c>
      <c r="G45" s="7"/>
      <c r="H45" s="8">
        <f t="shared" si="1"/>
        <v>0</v>
      </c>
      <c r="I45" s="27"/>
    </row>
    <row r="46" spans="1:11" ht="15.75" x14ac:dyDescent="0.25">
      <c r="A46" s="18" t="s">
        <v>27</v>
      </c>
      <c r="B46" s="18"/>
      <c r="C46" s="19">
        <f>C6+C21+C29+SUM(C31:C44)</f>
        <v>127909.73999999999</v>
      </c>
      <c r="D46" s="20"/>
      <c r="E46" s="19">
        <f>E6+E15+E21+E29+SUM(E31:E45)</f>
        <v>183212.78</v>
      </c>
      <c r="F46" s="20"/>
      <c r="G46" s="29"/>
      <c r="H46" s="19">
        <f>H6+H21+H29+SUM(H31:H44)</f>
        <v>0</v>
      </c>
      <c r="I46" s="25"/>
      <c r="K46" s="9"/>
    </row>
    <row r="47" spans="1:11" x14ac:dyDescent="0.2">
      <c r="D47" s="9"/>
      <c r="E47" s="9"/>
    </row>
    <row r="49" spans="4:8" x14ac:dyDescent="0.2">
      <c r="D49" s="9"/>
      <c r="E49" s="9"/>
    </row>
    <row r="50" spans="4:8" x14ac:dyDescent="0.2">
      <c r="H50" s="9"/>
    </row>
  </sheetData>
  <mergeCells count="7">
    <mergeCell ref="A5:H5"/>
    <mergeCell ref="A1:H1"/>
    <mergeCell ref="A2:H2"/>
    <mergeCell ref="A3:A4"/>
    <mergeCell ref="B3:C3"/>
    <mergeCell ref="D3:E3"/>
    <mergeCell ref="F3:H3"/>
  </mergeCells>
  <pageMargins left="1.1811023622047245" right="0.39370078740157483" top="0.39370078740157483" bottom="0.39370078740157483" header="0.51181102362204722" footer="0.51181102362204722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ПММ (Мрг)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2026-01-20T15:53:49Z</dcterms:modified>
</cp:coreProperties>
</file>